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\Excel\"/>
    </mc:Choice>
  </mc:AlternateContent>
  <xr:revisionPtr revIDLastSave="0" documentId="13_ncr:1_{DB4F7B1C-C773-47EB-BE63-0E9B613B4F69}" xr6:coauthVersionLast="47" xr6:coauthVersionMax="47" xr10:uidLastSave="{00000000-0000-0000-0000-000000000000}"/>
  <bookViews>
    <workbookView xWindow="-108" yWindow="-108" windowWidth="23256" windowHeight="12456" xr2:uid="{84DE8713-2C3B-4615-A029-8AEFA0835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F23" i="1"/>
  <c r="B23" i="1"/>
  <c r="N10" i="1"/>
  <c r="N9" i="1"/>
  <c r="N8" i="1"/>
  <c r="N7" i="1"/>
  <c r="H4" i="1"/>
  <c r="H3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4" i="1"/>
  <c r="G3" i="1"/>
  <c r="H23" i="1" l="1"/>
  <c r="N11" i="1"/>
</calcChain>
</file>

<file path=xl/sharedStrings.xml><?xml version="1.0" encoding="utf-8"?>
<sst xmlns="http://schemas.openxmlformats.org/spreadsheetml/2006/main" count="34" uniqueCount="33">
  <si>
    <t xml:space="preserve">الرقم التسلسلي </t>
  </si>
  <si>
    <t>الماده</t>
  </si>
  <si>
    <t>تاريخ التسليم</t>
  </si>
  <si>
    <t>وقت التسليم</t>
  </si>
  <si>
    <t>الكميه</t>
  </si>
  <si>
    <t>المبلغ المستحق</t>
  </si>
  <si>
    <t>المبلغ المدفوع</t>
  </si>
  <si>
    <t>المبلغ المتبقي</t>
  </si>
  <si>
    <t>أقلام</t>
  </si>
  <si>
    <t>دفاتر</t>
  </si>
  <si>
    <t>ممسحه</t>
  </si>
  <si>
    <t>كتب</t>
  </si>
  <si>
    <t>مجلدات</t>
  </si>
  <si>
    <t>أغلفه</t>
  </si>
  <si>
    <t>حقائب</t>
  </si>
  <si>
    <t>ساعات حائط</t>
  </si>
  <si>
    <t>منبه</t>
  </si>
  <si>
    <t>أوراق كتاب</t>
  </si>
  <si>
    <t>طباشير</t>
  </si>
  <si>
    <t xml:space="preserve">مساطر </t>
  </si>
  <si>
    <t>قرطاسية مكتب</t>
  </si>
  <si>
    <t>أقلام تلوين</t>
  </si>
  <si>
    <t>أقلام حائط</t>
  </si>
  <si>
    <t>ملصقات</t>
  </si>
  <si>
    <t>تقويم</t>
  </si>
  <si>
    <t>مصنفات</t>
  </si>
  <si>
    <t>دفاتر رسم</t>
  </si>
  <si>
    <t>عدد الأنواع</t>
  </si>
  <si>
    <t>مجموع الكميات</t>
  </si>
  <si>
    <t>مجموع المبالغ المستحقه</t>
  </si>
  <si>
    <t>معدل المبالغ المستحقه</t>
  </si>
  <si>
    <t>مجموع المبالغ المتبقيه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</si>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</sst>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18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8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20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3" formatCode="h:mm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26C8B-A23B-4C5B-B6C9-1B34F0EED8D8}" name="Table1" displayName="Table1" ref="A2:H23" totalsRowCount="1" headerRowDxfId="8" headerRowBorderDxfId="18" tableBorderDxfId="19" totalsRowBorderDxfId="17">
  <autoFilter ref="A2:H22" xr:uid="{F2C26C8B-A23B-4C5B-B6C9-1B34F0EED8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4500C6A-B782-4A60-8887-C95FF03AD5EC}" name="الرقم التسلسلي " totalsRowLabel="Total" dataDxfId="16" totalsRowDxfId="7"/>
    <tableColumn id="2" xr3:uid="{87F9FCEE-FC40-490D-8C3D-636029C96EEB}" name="الماده" totalsRowFunction="count" dataDxfId="15" totalsRowDxfId="2"/>
    <tableColumn id="3" xr3:uid="{1EDC6B3B-EDEB-4870-AFD3-4427E8A63575}" name="تاريخ التسليم" dataDxfId="14" totalsRowDxfId="6"/>
    <tableColumn id="4" xr3:uid="{2108BC87-6165-4DD1-9889-7085A7E6F555}" name="وقت التسليم" dataDxfId="13" totalsRowDxfId="5"/>
    <tableColumn id="5" xr3:uid="{9C908C2F-6206-42C6-B196-A45D7B2828BF}" name="الكميه" dataDxfId="12" totalsRowDxfId="4"/>
    <tableColumn id="6" xr3:uid="{3A23E4D0-8C2B-4CDB-B043-A428DD20CC48}" name="المبلغ المستحق" totalsRowFunction="average" dataDxfId="11" totalsRowDxfId="1"/>
    <tableColumn id="7" xr3:uid="{71139DD3-F288-4802-8217-A68C10132698}" name="المبلغ المدفوع" totalsRowFunction="max" dataDxfId="10" totalsRowDxfId="0">
      <calculatedColumnFormula>F3*30%</calculatedColumnFormula>
    </tableColumn>
    <tableColumn id="8" xr3:uid="{10B88A31-9AD7-46E2-A523-877954329657}" name="المبلغ المتبقي" totalsRowFunction="sum" dataDxfId="9" totalsRowDxfId="3">
      <calculatedColumnFormula>F3-G3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05FE-3F4B-4F13-9167-90746F5AC046}">
  <dimension ref="A2:N23"/>
  <sheetViews>
    <sheetView tabSelected="1" workbookViewId="0">
      <selection activeCell="N18" sqref="N18"/>
    </sheetView>
  </sheetViews>
  <sheetFormatPr defaultRowHeight="14.4" x14ac:dyDescent="0.3"/>
  <cols>
    <col min="1" max="1" width="11.5546875" bestFit="1" customWidth="1"/>
    <col min="2" max="2" width="10.88671875" bestFit="1" customWidth="1"/>
    <col min="3" max="3" width="10.5546875" bestFit="1" customWidth="1"/>
    <col min="4" max="4" width="9.88671875" bestFit="1" customWidth="1"/>
    <col min="5" max="5" width="5" bestFit="1" customWidth="1"/>
    <col min="6" max="6" width="11.77734375" bestFit="1" customWidth="1"/>
    <col min="7" max="7" width="10.5546875" bestFit="1" customWidth="1"/>
    <col min="8" max="8" width="10.109375" bestFit="1" customWidth="1"/>
    <col min="13" max="13" width="17.44140625" bestFit="1" customWidth="1"/>
    <col min="14" max="14" width="9" bestFit="1" customWidth="1"/>
  </cols>
  <sheetData>
    <row r="2" spans="1:14" x14ac:dyDescent="0.3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</row>
    <row r="3" spans="1:14" x14ac:dyDescent="0.3">
      <c r="A3" s="5">
        <v>1</v>
      </c>
      <c r="B3" s="1" t="s">
        <v>8</v>
      </c>
      <c r="C3" s="3">
        <v>45658</v>
      </c>
      <c r="D3" s="4">
        <v>0.375</v>
      </c>
      <c r="E3" s="1">
        <v>11</v>
      </c>
      <c r="F3" s="1">
        <v>110</v>
      </c>
      <c r="G3" s="1">
        <f>F3*30%</f>
        <v>33</v>
      </c>
      <c r="H3" s="6">
        <f>F3-G3</f>
        <v>77</v>
      </c>
    </row>
    <row r="4" spans="1:14" x14ac:dyDescent="0.3">
      <c r="A4" s="5">
        <v>2</v>
      </c>
      <c r="B4" s="1" t="s">
        <v>9</v>
      </c>
      <c r="C4" s="3">
        <v>45677</v>
      </c>
      <c r="D4" s="4">
        <v>0.39583333333333331</v>
      </c>
      <c r="E4" s="1">
        <v>25</v>
      </c>
      <c r="F4" s="1">
        <v>500</v>
      </c>
      <c r="G4" s="1">
        <f>F4*30%</f>
        <v>150</v>
      </c>
      <c r="H4" s="6">
        <f>F4-G4</f>
        <v>350</v>
      </c>
    </row>
    <row r="5" spans="1:14" x14ac:dyDescent="0.3">
      <c r="A5" s="5">
        <v>3</v>
      </c>
      <c r="B5" s="1" t="s">
        <v>10</v>
      </c>
      <c r="C5" s="3">
        <v>45696</v>
      </c>
      <c r="D5" s="4">
        <v>0.54166666666666663</v>
      </c>
      <c r="E5" s="1">
        <v>23</v>
      </c>
      <c r="F5" s="1">
        <v>115</v>
      </c>
      <c r="G5" s="1">
        <f t="shared" ref="G5:G22" si="0">F5*30%</f>
        <v>34.5</v>
      </c>
      <c r="H5" s="6">
        <f t="shared" ref="H5:H22" si="1">F5-G5</f>
        <v>80.5</v>
      </c>
    </row>
    <row r="6" spans="1:14" x14ac:dyDescent="0.3">
      <c r="A6" s="5">
        <v>4</v>
      </c>
      <c r="B6" s="1" t="s">
        <v>11</v>
      </c>
      <c r="C6" s="3">
        <v>45715</v>
      </c>
      <c r="D6" s="4">
        <v>0.61458333333333337</v>
      </c>
      <c r="E6" s="1">
        <v>16</v>
      </c>
      <c r="F6" s="1">
        <v>320</v>
      </c>
      <c r="G6" s="1">
        <f t="shared" si="0"/>
        <v>96</v>
      </c>
      <c r="H6" s="6">
        <f t="shared" si="1"/>
        <v>224</v>
      </c>
    </row>
    <row r="7" spans="1:14" x14ac:dyDescent="0.3">
      <c r="A7" s="5">
        <v>5</v>
      </c>
      <c r="B7" s="1" t="s">
        <v>9</v>
      </c>
      <c r="C7" s="3">
        <v>45734</v>
      </c>
      <c r="D7" s="4">
        <v>0.47569444444444442</v>
      </c>
      <c r="E7" s="1">
        <v>15</v>
      </c>
      <c r="F7" s="1">
        <v>225</v>
      </c>
      <c r="G7" s="1">
        <f t="shared" si="0"/>
        <v>67.5</v>
      </c>
      <c r="H7" s="6">
        <f t="shared" si="1"/>
        <v>157.5</v>
      </c>
      <c r="M7" s="2" t="s">
        <v>27</v>
      </c>
      <c r="N7" s="1">
        <f>COUNTA(B3:B22)</f>
        <v>20</v>
      </c>
    </row>
    <row r="8" spans="1:14" x14ac:dyDescent="0.3">
      <c r="A8" s="5">
        <v>6</v>
      </c>
      <c r="B8" s="1" t="s">
        <v>12</v>
      </c>
      <c r="C8" s="3">
        <v>45753</v>
      </c>
      <c r="D8" s="4">
        <v>0.5</v>
      </c>
      <c r="E8" s="1">
        <v>20</v>
      </c>
      <c r="F8" s="1">
        <v>500</v>
      </c>
      <c r="G8" s="1">
        <f t="shared" si="0"/>
        <v>150</v>
      </c>
      <c r="H8" s="6">
        <f t="shared" si="1"/>
        <v>350</v>
      </c>
      <c r="M8" s="2" t="s">
        <v>28</v>
      </c>
      <c r="N8" s="1">
        <f>SUM(E3:E22)</f>
        <v>408</v>
      </c>
    </row>
    <row r="9" spans="1:14" x14ac:dyDescent="0.3">
      <c r="A9" s="5">
        <v>7</v>
      </c>
      <c r="B9" s="1" t="s">
        <v>13</v>
      </c>
      <c r="C9" s="3">
        <v>45772</v>
      </c>
      <c r="D9" s="4">
        <v>0.56944444444444442</v>
      </c>
      <c r="E9" s="1">
        <v>29</v>
      </c>
      <c r="F9" s="1">
        <v>377</v>
      </c>
      <c r="G9" s="1">
        <f t="shared" si="0"/>
        <v>113.1</v>
      </c>
      <c r="H9" s="6">
        <f t="shared" si="1"/>
        <v>263.89999999999998</v>
      </c>
      <c r="M9" s="2" t="s">
        <v>29</v>
      </c>
      <c r="N9" s="1">
        <f>SUM(F3:F22)</f>
        <v>6270.64</v>
      </c>
    </row>
    <row r="10" spans="1:14" x14ac:dyDescent="0.3">
      <c r="A10" s="5">
        <v>8</v>
      </c>
      <c r="B10" s="1" t="s">
        <v>14</v>
      </c>
      <c r="C10" s="3">
        <v>45791</v>
      </c>
      <c r="D10" s="4">
        <v>0.44097222222222221</v>
      </c>
      <c r="E10" s="1">
        <v>26</v>
      </c>
      <c r="F10" s="1">
        <v>624</v>
      </c>
      <c r="G10" s="1">
        <f t="shared" si="0"/>
        <v>187.2</v>
      </c>
      <c r="H10" s="6">
        <f t="shared" si="1"/>
        <v>436.8</v>
      </c>
      <c r="M10" s="2" t="s">
        <v>30</v>
      </c>
      <c r="N10" s="1">
        <f>AVERAGE(F3:F22)</f>
        <v>313.53200000000004</v>
      </c>
    </row>
    <row r="11" spans="1:14" x14ac:dyDescent="0.3">
      <c r="A11" s="5">
        <v>9</v>
      </c>
      <c r="B11" s="1" t="s">
        <v>15</v>
      </c>
      <c r="C11" s="3">
        <v>45810</v>
      </c>
      <c r="D11" s="4">
        <v>0.53125</v>
      </c>
      <c r="E11" s="1">
        <v>19</v>
      </c>
      <c r="F11" s="1">
        <v>3.04</v>
      </c>
      <c r="G11" s="1">
        <f t="shared" si="0"/>
        <v>0.91199999999999992</v>
      </c>
      <c r="H11" s="6">
        <f t="shared" si="1"/>
        <v>2.1280000000000001</v>
      </c>
      <c r="M11" s="2" t="s">
        <v>31</v>
      </c>
      <c r="N11" s="1">
        <f>SUM(H3:H22)</f>
        <v>4389.4479999999994</v>
      </c>
    </row>
    <row r="12" spans="1:14" x14ac:dyDescent="0.3">
      <c r="A12" s="5">
        <v>10</v>
      </c>
      <c r="B12" s="1" t="s">
        <v>16</v>
      </c>
      <c r="C12" s="3">
        <v>45829</v>
      </c>
      <c r="D12" s="4">
        <v>0.375</v>
      </c>
      <c r="E12" s="1">
        <v>21</v>
      </c>
      <c r="F12" s="1">
        <v>252</v>
      </c>
      <c r="G12" s="1">
        <f t="shared" si="0"/>
        <v>75.599999999999994</v>
      </c>
      <c r="H12" s="6">
        <f t="shared" si="1"/>
        <v>176.4</v>
      </c>
    </row>
    <row r="13" spans="1:14" x14ac:dyDescent="0.3">
      <c r="A13" s="5">
        <v>11</v>
      </c>
      <c r="B13" s="1" t="s">
        <v>17</v>
      </c>
      <c r="C13" s="3">
        <v>45848</v>
      </c>
      <c r="D13" s="4">
        <v>0.39583333333333331</v>
      </c>
      <c r="E13" s="1">
        <v>14</v>
      </c>
      <c r="F13" s="1">
        <v>114.8</v>
      </c>
      <c r="G13" s="1">
        <f t="shared" si="0"/>
        <v>34.44</v>
      </c>
      <c r="H13" s="6">
        <f t="shared" si="1"/>
        <v>80.36</v>
      </c>
    </row>
    <row r="14" spans="1:14" x14ac:dyDescent="0.3">
      <c r="A14" s="5">
        <v>12</v>
      </c>
      <c r="B14" s="1" t="s">
        <v>18</v>
      </c>
      <c r="C14" s="3">
        <v>45867</v>
      </c>
      <c r="D14" s="4">
        <v>0.54166666666666663</v>
      </c>
      <c r="E14" s="1">
        <v>13</v>
      </c>
      <c r="F14" s="1">
        <v>16.899999999999999</v>
      </c>
      <c r="G14" s="1">
        <f t="shared" si="0"/>
        <v>5.0699999999999994</v>
      </c>
      <c r="H14" s="6">
        <f t="shared" si="1"/>
        <v>11.829999999999998</v>
      </c>
    </row>
    <row r="15" spans="1:14" x14ac:dyDescent="0.3">
      <c r="A15" s="5">
        <v>13</v>
      </c>
      <c r="B15" s="1" t="s">
        <v>19</v>
      </c>
      <c r="C15" s="3">
        <v>45886</v>
      </c>
      <c r="D15" s="4">
        <v>0.61458333333333337</v>
      </c>
      <c r="E15" s="1">
        <v>19</v>
      </c>
      <c r="F15" s="1">
        <v>60.8</v>
      </c>
      <c r="G15" s="1">
        <f t="shared" si="0"/>
        <v>18.239999999999998</v>
      </c>
      <c r="H15" s="6">
        <f t="shared" si="1"/>
        <v>42.56</v>
      </c>
    </row>
    <row r="16" spans="1:14" x14ac:dyDescent="0.3">
      <c r="A16" s="5">
        <v>14</v>
      </c>
      <c r="B16" s="1" t="s">
        <v>20</v>
      </c>
      <c r="C16" s="3">
        <v>45905</v>
      </c>
      <c r="D16" s="4">
        <v>0.47569444444444442</v>
      </c>
      <c r="E16" s="1">
        <v>27</v>
      </c>
      <c r="F16" s="1">
        <v>116.1</v>
      </c>
      <c r="G16" s="1">
        <f t="shared" si="0"/>
        <v>34.83</v>
      </c>
      <c r="H16" s="6">
        <f t="shared" si="1"/>
        <v>81.27</v>
      </c>
    </row>
    <row r="17" spans="1:8" x14ac:dyDescent="0.3">
      <c r="A17" s="5">
        <v>15</v>
      </c>
      <c r="B17" s="1" t="s">
        <v>21</v>
      </c>
      <c r="C17" s="3">
        <v>45924</v>
      </c>
      <c r="D17" s="4">
        <v>0.5</v>
      </c>
      <c r="E17" s="1">
        <v>26</v>
      </c>
      <c r="F17" s="1">
        <v>416</v>
      </c>
      <c r="G17" s="1">
        <f t="shared" si="0"/>
        <v>124.8</v>
      </c>
      <c r="H17" s="6">
        <f t="shared" si="1"/>
        <v>291.2</v>
      </c>
    </row>
    <row r="18" spans="1:8" x14ac:dyDescent="0.3">
      <c r="A18" s="5">
        <v>16</v>
      </c>
      <c r="B18" s="1" t="s">
        <v>22</v>
      </c>
      <c r="C18" s="3">
        <v>45943</v>
      </c>
      <c r="D18" s="4">
        <v>0.56944444444444442</v>
      </c>
      <c r="E18" s="1">
        <v>25</v>
      </c>
      <c r="F18" s="1">
        <v>500</v>
      </c>
      <c r="G18" s="1">
        <f t="shared" si="0"/>
        <v>150</v>
      </c>
      <c r="H18" s="6">
        <f t="shared" si="1"/>
        <v>350</v>
      </c>
    </row>
    <row r="19" spans="1:8" x14ac:dyDescent="0.3">
      <c r="A19" s="5">
        <v>17</v>
      </c>
      <c r="B19" s="1" t="s">
        <v>23</v>
      </c>
      <c r="C19" s="3">
        <v>45962</v>
      </c>
      <c r="D19" s="4">
        <v>0.44097222222222221</v>
      </c>
      <c r="E19" s="1">
        <v>23</v>
      </c>
      <c r="F19" s="1">
        <v>276</v>
      </c>
      <c r="G19" s="1">
        <f t="shared" si="0"/>
        <v>82.8</v>
      </c>
      <c r="H19" s="6">
        <f t="shared" si="1"/>
        <v>193.2</v>
      </c>
    </row>
    <row r="20" spans="1:8" x14ac:dyDescent="0.3">
      <c r="A20" s="5">
        <v>18</v>
      </c>
      <c r="B20" s="1" t="s">
        <v>24</v>
      </c>
      <c r="C20" s="3">
        <v>45981</v>
      </c>
      <c r="D20" s="4">
        <v>0.53125</v>
      </c>
      <c r="E20" s="1">
        <v>24</v>
      </c>
      <c r="F20" s="1">
        <v>768</v>
      </c>
      <c r="G20" s="1">
        <f t="shared" si="0"/>
        <v>230.39999999999998</v>
      </c>
      <c r="H20" s="6">
        <f t="shared" si="1"/>
        <v>537.6</v>
      </c>
    </row>
    <row r="21" spans="1:8" x14ac:dyDescent="0.3">
      <c r="A21" s="5">
        <v>19</v>
      </c>
      <c r="B21" s="1" t="s">
        <v>25</v>
      </c>
      <c r="C21" s="3">
        <v>46000</v>
      </c>
      <c r="D21" s="4">
        <v>0.375</v>
      </c>
      <c r="E21" s="1">
        <v>20</v>
      </c>
      <c r="F21" s="1">
        <v>820</v>
      </c>
      <c r="G21" s="1">
        <f t="shared" si="0"/>
        <v>246</v>
      </c>
      <c r="H21" s="6">
        <f t="shared" si="1"/>
        <v>574</v>
      </c>
    </row>
    <row r="22" spans="1:8" x14ac:dyDescent="0.3">
      <c r="A22" s="10">
        <v>20</v>
      </c>
      <c r="B22" s="11" t="s">
        <v>26</v>
      </c>
      <c r="C22" s="12">
        <v>46019</v>
      </c>
      <c r="D22" s="13">
        <v>0.39583333333333331</v>
      </c>
      <c r="E22" s="11">
        <v>12</v>
      </c>
      <c r="F22" s="11">
        <v>156</v>
      </c>
      <c r="G22" s="11">
        <f t="shared" si="0"/>
        <v>46.8</v>
      </c>
      <c r="H22" s="14">
        <f t="shared" si="1"/>
        <v>109.2</v>
      </c>
    </row>
    <row r="23" spans="1:8" x14ac:dyDescent="0.3">
      <c r="A23" s="10" t="s">
        <v>32</v>
      </c>
      <c r="B23" s="11">
        <f>SUBTOTAL(103,Table1[الماده])</f>
        <v>20</v>
      </c>
      <c r="C23" s="11"/>
      <c r="D23" s="11"/>
      <c r="E23" s="11"/>
      <c r="F23" s="11">
        <f>SUBTOTAL(101,Table1[المبلغ المستحق])</f>
        <v>313.53200000000004</v>
      </c>
      <c r="G23" s="11">
        <f>SUBTOTAL(104,Table1[المبلغ المدفوع])</f>
        <v>246</v>
      </c>
      <c r="H23" s="14">
        <f>SUBTOTAL(109,Table1[المبلغ المتبقي])</f>
        <v>4389.4479999999994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 mostafa</dc:creator>
  <cp:lastModifiedBy>radwa mostafa</cp:lastModifiedBy>
  <dcterms:created xsi:type="dcterms:W3CDTF">2025-09-18T13:02:40Z</dcterms:created>
  <dcterms:modified xsi:type="dcterms:W3CDTF">2025-09-18T17:21:14Z</dcterms:modified>
</cp:coreProperties>
</file>